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zenvoau-my.sharepoint.com/personal/cc_zenvoautomotive_com/Documents/Documents/Aurora/Tur_Agil/VehDyn_Sim_Test/MiL_HiL_DiL/DiL_InHouse/"/>
    </mc:Choice>
  </mc:AlternateContent>
  <xr:revisionPtr revIDLastSave="276" documentId="13_ncr:1_{4F0D4FFD-24DD-4F7D-BE08-947FF747007B}" xr6:coauthVersionLast="47" xr6:coauthVersionMax="47" xr10:uidLastSave="{A0FBC90B-B876-49D8-8B9B-AA23286B5E5F}"/>
  <bookViews>
    <workbookView xWindow="-120" yWindow="-120" windowWidth="29040" windowHeight="15720" activeTab="2" xr2:uid="{00000000-000D-0000-FFFF-FFFF00000000}"/>
  </bookViews>
  <sheets>
    <sheet name="ver" sheetId="1" r:id="rId1"/>
    <sheet name="CoordSys" sheetId="5" r:id="rId2"/>
    <sheet name="Vehic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2" l="1"/>
  <c r="F74" i="2"/>
  <c r="F67" i="2"/>
  <c r="F66" i="2"/>
  <c r="F72" i="2"/>
  <c r="F64" i="2"/>
  <c r="F18" i="2"/>
  <c r="F17" i="2"/>
  <c r="F3" i="2"/>
  <c r="F4" i="2"/>
  <c r="F2" i="2"/>
  <c r="F37" i="2"/>
  <c r="F36" i="2"/>
  <c r="D22" i="2"/>
  <c r="F22" i="2" s="1"/>
  <c r="F71" i="2"/>
  <c r="F63" i="2"/>
  <c r="F73" i="2"/>
  <c r="F65" i="2"/>
  <c r="D21" i="2" l="1"/>
  <c r="F21" i="2" s="1"/>
  <c r="F94" i="2"/>
  <c r="F93" i="2"/>
  <c r="F87" i="2"/>
  <c r="F88" i="2"/>
  <c r="F86" i="2"/>
  <c r="F85" i="2"/>
  <c r="F78" i="2"/>
  <c r="F79" i="2"/>
  <c r="F80" i="2"/>
  <c r="F77" i="2"/>
  <c r="F43" i="2"/>
  <c r="F44" i="2"/>
  <c r="F45" i="2"/>
  <c r="F46" i="2"/>
  <c r="F47" i="2"/>
  <c r="F48" i="2"/>
  <c r="F49" i="2"/>
  <c r="F42" i="2"/>
  <c r="F23" i="2"/>
  <c r="F24" i="2"/>
  <c r="F20" i="2"/>
  <c r="D13" i="2"/>
</calcChain>
</file>

<file path=xl/sharedStrings.xml><?xml version="1.0" encoding="utf-8"?>
<sst xmlns="http://schemas.openxmlformats.org/spreadsheetml/2006/main" count="310" uniqueCount="166">
  <si>
    <t>Version</t>
  </si>
  <si>
    <t>Date</t>
  </si>
  <si>
    <t>Author</t>
  </si>
  <si>
    <t>Changes/Notes</t>
  </si>
  <si>
    <t>Chris Catto</t>
  </si>
  <si>
    <t>Front</t>
  </si>
  <si>
    <t>Rear</t>
  </si>
  <si>
    <t>Area/Domain</t>
  </si>
  <si>
    <t>Parameter</t>
  </si>
  <si>
    <t>Value</t>
  </si>
  <si>
    <t>Masses and inertiae</t>
  </si>
  <si>
    <t>Vehicle mass</t>
  </si>
  <si>
    <t>Front/Rear, Dry/wet etc</t>
  </si>
  <si>
    <t>Dry</t>
  </si>
  <si>
    <t>Coolant</t>
  </si>
  <si>
    <t>Lubricant</t>
  </si>
  <si>
    <t>kg</t>
  </si>
  <si>
    <t>Luggage</t>
  </si>
  <si>
    <t>Driver</t>
  </si>
  <si>
    <t>Passenger</t>
  </si>
  <si>
    <t>Calculated/estimated total</t>
  </si>
  <si>
    <t>ratio</t>
  </si>
  <si>
    <t>%</t>
  </si>
  <si>
    <t>front</t>
  </si>
  <si>
    <t>Mass distribution</t>
  </si>
  <si>
    <t>m</t>
  </si>
  <si>
    <t>Centre of mass Z height</t>
  </si>
  <si>
    <t>Road Mode</t>
  </si>
  <si>
    <t>Track Mode</t>
  </si>
  <si>
    <t>Wheelbase</t>
  </si>
  <si>
    <t>Track</t>
  </si>
  <si>
    <t>Unprung mass</t>
  </si>
  <si>
    <t>Wheel rotation inertia</t>
  </si>
  <si>
    <t>kg*m^2</t>
  </si>
  <si>
    <t>Vehicle Inertia</t>
  </si>
  <si>
    <t>https://www.iso.org/obp/ui/en/#iso:std:iso:8855:ed-2:v1:en</t>
  </si>
  <si>
    <t>Ixx (Roll)</t>
  </si>
  <si>
    <t>Iyy (Pitch)</t>
  </si>
  <si>
    <t>Izz (Yaw)</t>
  </si>
  <si>
    <t>The document scope is for containing information pertaining to the Zenvo Aurora Tur (and perhaps later the Agil configuration).</t>
  </si>
  <si>
    <t>Zenvo_Chris_Catto</t>
  </si>
  <si>
    <t>Suspension</t>
  </si>
  <si>
    <t>Wheels &amp; Tyres</t>
  </si>
  <si>
    <t>Size</t>
  </si>
  <si>
    <t>Front wheel</t>
  </si>
  <si>
    <t>Rear wheel</t>
  </si>
  <si>
    <t>9.5x20</t>
  </si>
  <si>
    <t>12.5x21</t>
  </si>
  <si>
    <t>Dimension</t>
  </si>
  <si>
    <t>Vertical stiffness</t>
  </si>
  <si>
    <t>Front tyre</t>
  </si>
  <si>
    <t>275/30/r20</t>
  </si>
  <si>
    <t>335/30/r21</t>
  </si>
  <si>
    <t>Mass</t>
  </si>
  <si>
    <t>Suspension travel</t>
  </si>
  <si>
    <t>Road mode, Front, Bump</t>
  </si>
  <si>
    <t>Road mode, Front, Rebound</t>
  </si>
  <si>
    <t>Road mode, Rear, Bump</t>
  </si>
  <si>
    <t>Road mode, Rear, Rebound</t>
  </si>
  <si>
    <t>Track mode, Front, Bump</t>
  </si>
  <si>
    <t>Track mode, Front, Rebound</t>
  </si>
  <si>
    <t>Track mode, Rear, Bump</t>
  </si>
  <si>
    <t>Track mode, Rear, Rebound</t>
  </si>
  <si>
    <t>Units (SI)</t>
  </si>
  <si>
    <t>Units alternative</t>
  </si>
  <si>
    <t>Value, converted</t>
  </si>
  <si>
    <t>mm</t>
  </si>
  <si>
    <t>Brakes</t>
  </si>
  <si>
    <t>Powertrain</t>
  </si>
  <si>
    <t>Transmission</t>
  </si>
  <si>
    <t>Internal combustion engine torque map</t>
  </si>
  <si>
    <t>Front Left</t>
  </si>
  <si>
    <t>Front Right</t>
  </si>
  <si>
    <t>e-Motor Inertia</t>
  </si>
  <si>
    <t>Inertia at the spindle, excluding transmission ratio or driveshaft etc.</t>
  </si>
  <si>
    <t>e-Motor Efficiency</t>
  </si>
  <si>
    <t>ICE gearbox ratios</t>
  </si>
  <si>
    <t>Gear 1st</t>
  </si>
  <si>
    <t>Gear 2nd</t>
  </si>
  <si>
    <t>Gear 3rd</t>
  </si>
  <si>
    <t>Gear 4th</t>
  </si>
  <si>
    <t>Gear 5th</t>
  </si>
  <si>
    <t>Gear 6th</t>
  </si>
  <si>
    <t>Gear 7th</t>
  </si>
  <si>
    <t>Gear 8th</t>
  </si>
  <si>
    <t>Differential</t>
  </si>
  <si>
    <t>Final drive ratio</t>
  </si>
  <si>
    <t>Important Notes/Caveats</t>
  </si>
  <si>
    <t>Aerodynamics</t>
  </si>
  <si>
    <t>Aerodynamic map</t>
  </si>
  <si>
    <t>Characteristic area</t>
  </si>
  <si>
    <t>Frontal</t>
  </si>
  <si>
    <t>Plan view</t>
  </si>
  <si>
    <t>m^2</t>
  </si>
  <si>
    <t>Coefficient</t>
  </si>
  <si>
    <t>+ve = lift; -ve = downforce</t>
  </si>
  <si>
    <t>Disc diameter</t>
  </si>
  <si>
    <t>Front, external</t>
  </si>
  <si>
    <t>Front, internal</t>
  </si>
  <si>
    <t>Rear, external</t>
  </si>
  <si>
    <t>Rear, internal</t>
  </si>
  <si>
    <t>Calliper piston qty</t>
  </si>
  <si>
    <t>Front, 4x</t>
  </si>
  <si>
    <t>Front, 2x</t>
  </si>
  <si>
    <t>Calliper piston diameters</t>
  </si>
  <si>
    <t>Rear, 2x</t>
  </si>
  <si>
    <t>Pad friction coefficient</t>
  </si>
  <si>
    <t>Master cylinder diameter</t>
  </si>
  <si>
    <t>Mechanical pressure bias</t>
  </si>
  <si>
    <t>Pedal lever ratio vs pedal stroke</t>
  </si>
  <si>
    <t>Brake booster ratio</t>
  </si>
  <si>
    <t>Michelin Pilot Sport Cup 2 / 2R</t>
  </si>
  <si>
    <t>Cornering stiffness (average)</t>
  </si>
  <si>
    <t>N/m</t>
  </si>
  <si>
    <t>N/rad</t>
  </si>
  <si>
    <t>N/deg</t>
  </si>
  <si>
    <t>Steering</t>
  </si>
  <si>
    <t>Rack ratio average</t>
  </si>
  <si>
    <t>Loaded radius with Fz=4300N</t>
  </si>
  <si>
    <t>Loaded radius with Fz=5300N</t>
  </si>
  <si>
    <t>Semi-wheelbase (calculated)</t>
  </si>
  <si>
    <t>front ('a')</t>
  </si>
  <si>
    <t>rear ('b')</t>
  </si>
  <si>
    <t>Ackermann %</t>
  </si>
  <si>
    <t>First draft.</t>
  </si>
  <si>
    <t>This document is provided from Zenvo to the students and professors at KTH Stockholm (SWE) for academic project purposes.</t>
  </si>
  <si>
    <t>The information is typically already in the public domain or has been adequately redacted; therefore it can be used in public reports.</t>
  </si>
  <si>
    <t>cc@zenvoautomotive.com</t>
  </si>
  <si>
    <t>Unless otherwise stated, the data is presented using the ISO 8855 coordinate system.</t>
  </si>
  <si>
    <t>Students may for specific purposes deviate from the ISO 8855 system; for example their simulations may infer static tyre vertical force (Fz) as positive downwards.</t>
  </si>
  <si>
    <t>Brake fluid reservoir volume</t>
  </si>
  <si>
    <t>cc</t>
  </si>
  <si>
    <t>not yet available</t>
  </si>
  <si>
    <t>N/mm</t>
  </si>
  <si>
    <t>Wheel rate</t>
  </si>
  <si>
    <t>ver. Date</t>
  </si>
  <si>
    <t>End of dataset</t>
  </si>
  <si>
    <t>Body dimensions</t>
  </si>
  <si>
    <t>Length</t>
  </si>
  <si>
    <t>Width</t>
  </si>
  <si>
    <t>Height</t>
  </si>
  <si>
    <t>Fuel (~75 L)</t>
  </si>
  <si>
    <t>Mass of wheel rim + tyre + hub + brake rotor + brake calliper.</t>
  </si>
  <si>
    <t>Rotation of wheel rim + tyre + brake rotor</t>
  </si>
  <si>
    <t>Rear, 4x</t>
  </si>
  <si>
    <t>Drag (non-dimensional)</t>
  </si>
  <si>
    <t>Lift</t>
  </si>
  <si>
    <t>Motion ratio (wheel/damper)</t>
  </si>
  <si>
    <t>Wheel_rate ~ Spring_rate / motion_ratio^2</t>
  </si>
  <si>
    <t>e-Motor transmission ratio</t>
  </si>
  <si>
    <t>1.5 * gear ratio * final drive</t>
  </si>
  <si>
    <t>Engine Inertia</t>
  </si>
  <si>
    <t>Nominally</t>
  </si>
  <si>
    <t>3:1 vs 100 mm</t>
  </si>
  <si>
    <t>e-Motor power map</t>
  </si>
  <si>
    <t>same as Front Left</t>
  </si>
  <si>
    <t>speed x-axis (rpm): [0 10000 25000];
power (kW): [0 150 150]</t>
  </si>
  <si>
    <t>96% highest; 84% lowest.</t>
  </si>
  <si>
    <t>See image</t>
  </si>
  <si>
    <t>Tyre type</t>
  </si>
  <si>
    <t>deg</t>
  </si>
  <si>
    <t>Peak slip angle</t>
  </si>
  <si>
    <t>Force linear range slip angle</t>
  </si>
  <si>
    <t>rad</t>
  </si>
  <si>
    <t>Steering wheel rotation (degrees) / tyre steering angle (deg).</t>
  </si>
  <si>
    <t>The persons typically maintaining the document are: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</si>
</sst>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5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0" xfId="0" applyFill="1"/>
    <xf numFmtId="0" fontId="2" fillId="0" borderId="0" xfId="1"/>
    <xf numFmtId="0" fontId="1" fillId="0" borderId="0" xfId="0" applyFont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164" fontId="0" fillId="3" borderId="0" xfId="0" applyNumberFormat="1" applyFill="1" applyAlignment="1">
      <alignment horizontal="right" vertical="center"/>
    </xf>
    <xf numFmtId="0" fontId="0" fillId="0" borderId="0" xfId="0" quotePrefix="1"/>
    <xf numFmtId="15" fontId="0" fillId="0" borderId="1" xfId="0" applyNumberFormat="1" applyBorder="1"/>
    <xf numFmtId="0" fontId="3" fillId="3" borderId="0" xfId="0" applyFont="1" applyFill="1"/>
    <xf numFmtId="14" fontId="0" fillId="0" borderId="0" xfId="0" applyNumberFormat="1"/>
    <xf numFmtId="0" fontId="0" fillId="5" borderId="0" xfId="0" applyFill="1"/>
    <xf numFmtId="0" fontId="0" fillId="0" borderId="0" xfId="0" applyFill="1"/>
    <xf numFmtId="0" fontId="4" fillId="3" borderId="0" xfId="0" applyFont="1" applyFill="1"/>
    <xf numFmtId="0" fontId="4" fillId="0" borderId="0" xfId="0" applyFont="1"/>
    <xf numFmtId="14" fontId="4" fillId="0" borderId="0" xfId="0" applyNumberFormat="1" applyFont="1"/>
    <xf numFmtId="0" fontId="0" fillId="3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4</xdr:col>
      <xdr:colOff>4648200</xdr:colOff>
      <xdr:row>28</xdr:row>
      <xdr:rowOff>44391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4F019-8A17-8F6C-B7DF-045DBEA09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267075"/>
          <a:ext cx="6696075" cy="2139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38100</xdr:rowOff>
    </xdr:from>
    <xdr:to>
      <xdr:col>6</xdr:col>
      <xdr:colOff>466725</xdr:colOff>
      <xdr:row>18</xdr:row>
      <xdr:rowOff>140410</xdr:rowOff>
    </xdr:to>
    <xdr:pic>
      <xdr:nvPicPr>
        <xdr:cNvPr id="2" name="Picture 1" descr="Vehicle Axis System ISO 8855-2011. | Download Scientific Diagram">
          <a:extLst>
            <a:ext uri="{FF2B5EF4-FFF2-40B4-BE49-F238E27FC236}">
              <a16:creationId xmlns:a16="http://schemas.microsoft.com/office/drawing/2014/main" id="{A13ACE50-2246-55D7-67FC-A06CB5D8E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4124325" cy="2959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609599</xdr:colOff>
      <xdr:row>3</xdr:row>
      <xdr:rowOff>19050</xdr:rowOff>
    </xdr:from>
    <xdr:to>
      <xdr:col>18</xdr:col>
      <xdr:colOff>116020</xdr:colOff>
      <xdr:row>18</xdr:row>
      <xdr:rowOff>133350</xdr:rowOff>
    </xdr:to>
    <xdr:pic>
      <xdr:nvPicPr>
        <xdr:cNvPr id="3" name="Picture 2" descr="Vehicle Dynamics.">
          <a:extLst>
            <a:ext uri="{FF2B5EF4-FFF2-40B4-BE49-F238E27FC236}">
              <a16:creationId xmlns:a16="http://schemas.microsoft.com/office/drawing/2014/main" id="{D161FF1B-32BE-5622-70F5-B240E9C52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799" y="209550"/>
          <a:ext cx="6212021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723900</xdr:colOff>
      <xdr:row>93</xdr:row>
      <xdr:rowOff>28575</xdr:rowOff>
    </xdr:from>
    <xdr:to>
      <xdr:col>10</xdr:col>
      <xdr:colOff>38846</xdr:colOff>
      <xdr:row>105</xdr:row>
      <xdr:rowOff>114658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965C0C-77A9-89DC-CAA4-153FFC3D7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0075" y="17745075"/>
          <a:ext cx="5344271" cy="2562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c@zenvoautomotiv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so.org/obp/ui/e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B1:E14"/>
  <sheetViews>
    <sheetView workbookViewId="0">
      <selection activeCell="B14" sqref="B14"/>
    </sheetView>
  </sheetViews>
  <sheetFormatPr defaultRowHeight="15" x14ac:dyDescent="0.25"/>
  <cols>
    <col min="3" max="3" width="10" bestFit="1" customWidth="1"/>
    <col min="4" max="4" width="11.5703125" customWidth="1"/>
    <col min="5" max="5" width="72.7109375" customWidth="1"/>
  </cols>
  <sheetData>
    <row r="1" spans="2:5" ht="15.75" thickBot="1" x14ac:dyDescent="0.3"/>
    <row r="2" spans="2:5" ht="15.75" thickBot="1" x14ac:dyDescent="0.3">
      <c r="B2" s="11" t="s">
        <v>0</v>
      </c>
      <c r="C2" s="12" t="s">
        <v>1</v>
      </c>
      <c r="D2" s="12" t="s">
        <v>2</v>
      </c>
      <c r="E2" s="13" t="s">
        <v>3</v>
      </c>
    </row>
    <row r="3" spans="2:5" x14ac:dyDescent="0.25">
      <c r="B3" s="7">
        <v>0.1</v>
      </c>
      <c r="C3" s="8">
        <v>46053</v>
      </c>
      <c r="D3" s="9" t="s">
        <v>4</v>
      </c>
      <c r="E3" s="10" t="s">
        <v>124</v>
      </c>
    </row>
    <row r="4" spans="2:5" x14ac:dyDescent="0.25">
      <c r="B4" s="2"/>
      <c r="C4" s="23"/>
      <c r="D4" s="1"/>
      <c r="E4" s="3"/>
    </row>
    <row r="5" spans="2:5" x14ac:dyDescent="0.25">
      <c r="B5" s="2"/>
      <c r="C5" s="1"/>
      <c r="D5" s="1"/>
      <c r="E5" s="3"/>
    </row>
    <row r="6" spans="2:5" x14ac:dyDescent="0.25">
      <c r="B6" s="2"/>
      <c r="C6" s="1"/>
      <c r="D6" s="1"/>
      <c r="E6" s="3"/>
    </row>
    <row r="7" spans="2:5" ht="15.75" thickBot="1" x14ac:dyDescent="0.3">
      <c r="B7" s="4"/>
      <c r="C7" s="5"/>
      <c r="D7" s="5"/>
      <c r="E7" s="6"/>
    </row>
    <row r="10" spans="2:5" x14ac:dyDescent="0.25">
      <c r="B10" t="s">
        <v>125</v>
      </c>
    </row>
    <row r="11" spans="2:5" x14ac:dyDescent="0.25">
      <c r="B11" t="s">
        <v>39</v>
      </c>
    </row>
    <row r="12" spans="2:5" x14ac:dyDescent="0.25">
      <c r="B12" s="16" t="s">
        <v>126</v>
      </c>
    </row>
    <row r="13" spans="2:5" x14ac:dyDescent="0.25">
      <c r="B13" t="s">
        <v>165</v>
      </c>
    </row>
    <row r="14" spans="2:5" x14ac:dyDescent="0.25">
      <c r="C14" t="s">
        <v>40</v>
      </c>
      <c r="E14" s="15" t="s">
        <v>127</v>
      </c>
    </row>
  </sheetData>
  <hyperlinks>
    <hyperlink ref="E14" r:id="rId1" xr:uid="{6EBF111E-C80E-4466-920C-A12E0AE769F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90D3-D643-46EE-9410-203AA367F1A2}">
  <sheetPr>
    <tabColor theme="0" tint="-0.249977111117893"/>
  </sheetPr>
  <dimension ref="A1:A3"/>
  <sheetViews>
    <sheetView workbookViewId="0">
      <selection activeCell="F21" sqref="F21"/>
    </sheetView>
  </sheetViews>
  <sheetFormatPr defaultRowHeight="15" x14ac:dyDescent="0.25"/>
  <sheetData>
    <row r="1" spans="1:1" x14ac:dyDescent="0.25">
      <c r="A1" t="s">
        <v>128</v>
      </c>
    </row>
    <row r="2" spans="1:1" x14ac:dyDescent="0.25">
      <c r="A2" s="16" t="s">
        <v>129</v>
      </c>
    </row>
    <row r="3" spans="1:1" x14ac:dyDescent="0.25">
      <c r="A3" s="15" t="s">
        <v>35</v>
      </c>
    </row>
  </sheetData>
  <hyperlinks>
    <hyperlink ref="A3" r:id="rId1" location="iso:std:iso:8855:ed-2:v1:en" xr:uid="{3398068E-E9AB-45AE-837A-3D1BE62EDA0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18BD-36CF-474D-B466-A00F84016CEC}">
  <sheetPr>
    <tabColor rgb="FF92D050"/>
  </sheetPr>
  <dimension ref="A1:I1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1" max="1" width="20.5703125" customWidth="1"/>
    <col min="2" max="2" width="30.140625" customWidth="1"/>
    <col min="3" max="3" width="26.85546875" customWidth="1"/>
    <col min="4" max="4" width="33.85546875" style="18" customWidth="1"/>
    <col min="6" max="6" width="17.28515625" customWidth="1"/>
    <col min="7" max="7" width="15.85546875" bestFit="1" customWidth="1"/>
    <col min="8" max="8" width="15.85546875" customWidth="1"/>
    <col min="9" max="9" width="81.28515625" customWidth="1"/>
  </cols>
  <sheetData>
    <row r="1" spans="1:9" s="14" customFormat="1" x14ac:dyDescent="0.25">
      <c r="A1" s="14" t="s">
        <v>7</v>
      </c>
      <c r="B1" s="14" t="s">
        <v>8</v>
      </c>
      <c r="C1" s="14" t="s">
        <v>12</v>
      </c>
      <c r="D1" s="18" t="s">
        <v>9</v>
      </c>
      <c r="E1" s="14" t="s">
        <v>63</v>
      </c>
      <c r="F1" s="14" t="s">
        <v>65</v>
      </c>
      <c r="G1" s="14" t="s">
        <v>64</v>
      </c>
      <c r="H1" s="14" t="s">
        <v>135</v>
      </c>
      <c r="I1" s="14" t="s">
        <v>87</v>
      </c>
    </row>
    <row r="2" spans="1:9" s="27" customFormat="1" x14ac:dyDescent="0.25">
      <c r="A2" s="20" t="s">
        <v>137</v>
      </c>
      <c r="B2" s="27" t="s">
        <v>138</v>
      </c>
      <c r="D2" s="18">
        <v>4.819</v>
      </c>
      <c r="E2" s="27" t="s">
        <v>25</v>
      </c>
      <c r="F2" s="27">
        <f>D2*1000</f>
        <v>4819</v>
      </c>
      <c r="G2" s="27" t="s">
        <v>66</v>
      </c>
      <c r="H2" s="25">
        <v>46053</v>
      </c>
    </row>
    <row r="3" spans="1:9" s="27" customFormat="1" x14ac:dyDescent="0.25">
      <c r="B3" s="27" t="s">
        <v>139</v>
      </c>
      <c r="D3" s="18">
        <v>2.02</v>
      </c>
      <c r="E3" s="27" t="s">
        <v>25</v>
      </c>
      <c r="F3" s="27">
        <f t="shared" ref="F3:F4" si="0">D3*1000</f>
        <v>2020</v>
      </c>
      <c r="G3" s="27" t="s">
        <v>66</v>
      </c>
      <c r="H3" s="25">
        <v>46053</v>
      </c>
    </row>
    <row r="4" spans="1:9" s="27" customFormat="1" x14ac:dyDescent="0.25">
      <c r="B4" s="27" t="s">
        <v>140</v>
      </c>
      <c r="D4" s="18">
        <v>1.117</v>
      </c>
      <c r="E4" s="27" t="s">
        <v>25</v>
      </c>
      <c r="F4" s="27">
        <f t="shared" si="0"/>
        <v>1117</v>
      </c>
      <c r="G4" s="27" t="s">
        <v>66</v>
      </c>
      <c r="H4" s="25">
        <v>46053</v>
      </c>
    </row>
    <row r="5" spans="1:9" s="27" customFormat="1" x14ac:dyDescent="0.25">
      <c r="D5" s="18"/>
      <c r="H5" s="25">
        <v>46053</v>
      </c>
    </row>
    <row r="6" spans="1:9" x14ac:dyDescent="0.25">
      <c r="A6" s="20" t="s">
        <v>10</v>
      </c>
      <c r="B6" t="s">
        <v>11</v>
      </c>
      <c r="C6" t="s">
        <v>13</v>
      </c>
      <c r="D6" s="18">
        <v>1450</v>
      </c>
      <c r="E6" t="s">
        <v>16</v>
      </c>
      <c r="H6" s="25">
        <v>46053</v>
      </c>
    </row>
    <row r="7" spans="1:9" x14ac:dyDescent="0.25">
      <c r="C7" t="s">
        <v>141</v>
      </c>
      <c r="D7" s="18">
        <v>55</v>
      </c>
      <c r="E7" t="s">
        <v>16</v>
      </c>
      <c r="H7" s="25">
        <v>46053</v>
      </c>
    </row>
    <row r="8" spans="1:9" x14ac:dyDescent="0.25">
      <c r="C8" t="s">
        <v>14</v>
      </c>
      <c r="D8" s="18">
        <v>12</v>
      </c>
      <c r="E8" t="s">
        <v>16</v>
      </c>
      <c r="H8" s="25">
        <v>46053</v>
      </c>
    </row>
    <row r="9" spans="1:9" x14ac:dyDescent="0.25">
      <c r="C9" t="s">
        <v>15</v>
      </c>
      <c r="D9" s="18">
        <v>10</v>
      </c>
      <c r="E9" t="s">
        <v>16</v>
      </c>
      <c r="H9" s="25">
        <v>46053</v>
      </c>
    </row>
    <row r="10" spans="1:9" x14ac:dyDescent="0.25">
      <c r="C10" t="s">
        <v>17</v>
      </c>
      <c r="D10" s="18">
        <v>15</v>
      </c>
      <c r="E10" t="s">
        <v>16</v>
      </c>
      <c r="H10" s="25">
        <v>46053</v>
      </c>
    </row>
    <row r="11" spans="1:9" x14ac:dyDescent="0.25">
      <c r="C11" t="s">
        <v>18</v>
      </c>
      <c r="D11" s="18">
        <v>75</v>
      </c>
      <c r="E11" t="s">
        <v>16</v>
      </c>
      <c r="H11" s="25">
        <v>46053</v>
      </c>
    </row>
    <row r="12" spans="1:9" x14ac:dyDescent="0.25">
      <c r="C12" t="s">
        <v>19</v>
      </c>
      <c r="D12" s="18">
        <v>75</v>
      </c>
      <c r="E12" t="s">
        <v>16</v>
      </c>
      <c r="H12" s="25">
        <v>46053</v>
      </c>
    </row>
    <row r="13" spans="1:9" x14ac:dyDescent="0.25">
      <c r="C13" t="s">
        <v>20</v>
      </c>
      <c r="D13" s="18">
        <f>SUM(D6:D12)</f>
        <v>1692</v>
      </c>
      <c r="E13" t="s">
        <v>16</v>
      </c>
      <c r="H13" s="25">
        <v>46053</v>
      </c>
    </row>
    <row r="14" spans="1:9" x14ac:dyDescent="0.25">
      <c r="H14" s="25">
        <v>46053</v>
      </c>
    </row>
    <row r="15" spans="1:9" x14ac:dyDescent="0.25">
      <c r="B15" t="s">
        <v>24</v>
      </c>
      <c r="C15" t="s">
        <v>23</v>
      </c>
      <c r="D15" s="18">
        <v>0.43</v>
      </c>
      <c r="E15" t="s">
        <v>21</v>
      </c>
      <c r="F15">
        <v>45</v>
      </c>
      <c r="G15" t="s">
        <v>22</v>
      </c>
      <c r="H15" s="25">
        <v>46053</v>
      </c>
    </row>
    <row r="16" spans="1:9" x14ac:dyDescent="0.25">
      <c r="H16" s="25">
        <v>46053</v>
      </c>
    </row>
    <row r="17" spans="2:9" x14ac:dyDescent="0.25">
      <c r="B17" t="s">
        <v>26</v>
      </c>
      <c r="C17" t="s">
        <v>27</v>
      </c>
      <c r="D17" s="18">
        <v>0.45</v>
      </c>
      <c r="E17" t="s">
        <v>25</v>
      </c>
      <c r="F17">
        <f>D17*1000</f>
        <v>450</v>
      </c>
      <c r="G17" t="s">
        <v>66</v>
      </c>
      <c r="H17" s="25">
        <v>46053</v>
      </c>
    </row>
    <row r="18" spans="2:9" x14ac:dyDescent="0.25">
      <c r="C18" t="s">
        <v>28</v>
      </c>
      <c r="D18" s="18">
        <v>0.44</v>
      </c>
      <c r="E18" t="s">
        <v>25</v>
      </c>
      <c r="F18">
        <f>D18*1000</f>
        <v>440</v>
      </c>
      <c r="G18" t="s">
        <v>66</v>
      </c>
      <c r="H18" s="25">
        <v>46053</v>
      </c>
    </row>
    <row r="19" spans="2:9" x14ac:dyDescent="0.25">
      <c r="H19" s="25">
        <v>46053</v>
      </c>
    </row>
    <row r="20" spans="2:9" x14ac:dyDescent="0.25">
      <c r="B20" t="s">
        <v>29</v>
      </c>
      <c r="D20" s="18">
        <v>2.8</v>
      </c>
      <c r="E20" t="s">
        <v>25</v>
      </c>
      <c r="F20">
        <f>D20*1000</f>
        <v>2800</v>
      </c>
      <c r="G20" t="s">
        <v>66</v>
      </c>
      <c r="H20" s="25">
        <v>46053</v>
      </c>
    </row>
    <row r="21" spans="2:9" x14ac:dyDescent="0.25">
      <c r="B21" t="s">
        <v>120</v>
      </c>
      <c r="C21" t="s">
        <v>121</v>
      </c>
      <c r="D21" s="18">
        <f>D20-D22</f>
        <v>1.5959999999999999</v>
      </c>
      <c r="E21" t="s">
        <v>25</v>
      </c>
      <c r="F21">
        <f t="shared" ref="F21:F22" si="1">D21*1000</f>
        <v>1595.9999999999998</v>
      </c>
      <c r="G21" t="s">
        <v>66</v>
      </c>
      <c r="H21" s="25">
        <v>46053</v>
      </c>
    </row>
    <row r="22" spans="2:9" x14ac:dyDescent="0.25">
      <c r="C22" t="s">
        <v>122</v>
      </c>
      <c r="D22" s="18">
        <f>D20*D15</f>
        <v>1.204</v>
      </c>
      <c r="E22" t="s">
        <v>25</v>
      </c>
      <c r="F22">
        <f t="shared" si="1"/>
        <v>1204</v>
      </c>
      <c r="G22" t="s">
        <v>66</v>
      </c>
      <c r="H22" s="25">
        <v>46053</v>
      </c>
    </row>
    <row r="23" spans="2:9" x14ac:dyDescent="0.25">
      <c r="B23" t="s">
        <v>30</v>
      </c>
      <c r="C23" t="s">
        <v>5</v>
      </c>
      <c r="D23" s="18">
        <v>1.74</v>
      </c>
      <c r="E23" t="s">
        <v>25</v>
      </c>
      <c r="F23">
        <f t="shared" ref="F23:F24" si="2">D23*1000</f>
        <v>1740</v>
      </c>
      <c r="G23" t="s">
        <v>66</v>
      </c>
      <c r="H23" s="25">
        <v>46053</v>
      </c>
    </row>
    <row r="24" spans="2:9" x14ac:dyDescent="0.25">
      <c r="C24" t="s">
        <v>6</v>
      </c>
      <c r="D24" s="18">
        <v>1.67</v>
      </c>
      <c r="E24" t="s">
        <v>25</v>
      </c>
      <c r="F24">
        <f t="shared" si="2"/>
        <v>1670</v>
      </c>
      <c r="G24" t="s">
        <v>66</v>
      </c>
      <c r="H24" s="25">
        <v>46053</v>
      </c>
    </row>
    <row r="25" spans="2:9" x14ac:dyDescent="0.25">
      <c r="H25" s="25">
        <v>46053</v>
      </c>
    </row>
    <row r="26" spans="2:9" x14ac:dyDescent="0.25">
      <c r="B26" t="s">
        <v>31</v>
      </c>
      <c r="C26" t="s">
        <v>5</v>
      </c>
      <c r="D26" s="18">
        <v>45</v>
      </c>
      <c r="E26" t="s">
        <v>16</v>
      </c>
      <c r="H26" s="25">
        <v>46053</v>
      </c>
      <c r="I26" t="s">
        <v>142</v>
      </c>
    </row>
    <row r="27" spans="2:9" x14ac:dyDescent="0.25">
      <c r="C27" t="s">
        <v>6</v>
      </c>
      <c r="D27" s="18">
        <v>55</v>
      </c>
      <c r="E27" t="s">
        <v>16</v>
      </c>
      <c r="H27" s="25">
        <v>46053</v>
      </c>
      <c r="I27" t="s">
        <v>142</v>
      </c>
    </row>
    <row r="28" spans="2:9" x14ac:dyDescent="0.25">
      <c r="H28" s="25">
        <v>46053</v>
      </c>
    </row>
    <row r="29" spans="2:9" x14ac:dyDescent="0.25">
      <c r="B29" t="s">
        <v>32</v>
      </c>
      <c r="C29" t="s">
        <v>5</v>
      </c>
      <c r="D29" s="18">
        <v>1.6</v>
      </c>
      <c r="E29" t="s">
        <v>33</v>
      </c>
      <c r="H29" s="25">
        <v>46053</v>
      </c>
      <c r="I29" t="s">
        <v>143</v>
      </c>
    </row>
    <row r="30" spans="2:9" x14ac:dyDescent="0.25">
      <c r="C30" t="s">
        <v>6</v>
      </c>
      <c r="D30" s="18">
        <v>1.8</v>
      </c>
      <c r="E30" t="s">
        <v>33</v>
      </c>
      <c r="H30" s="25">
        <v>46053</v>
      </c>
    </row>
    <row r="31" spans="2:9" x14ac:dyDescent="0.25">
      <c r="H31" s="25">
        <v>46053</v>
      </c>
    </row>
    <row r="32" spans="2:9" x14ac:dyDescent="0.25">
      <c r="B32" t="s">
        <v>34</v>
      </c>
      <c r="C32" t="s">
        <v>36</v>
      </c>
      <c r="D32" s="18">
        <v>500</v>
      </c>
      <c r="E32" t="s">
        <v>33</v>
      </c>
      <c r="H32" s="25">
        <v>46053</v>
      </c>
    </row>
    <row r="33" spans="1:9" x14ac:dyDescent="0.25">
      <c r="C33" t="s">
        <v>37</v>
      </c>
      <c r="D33" s="18">
        <v>2500</v>
      </c>
      <c r="E33" t="s">
        <v>33</v>
      </c>
      <c r="H33" s="25">
        <v>46053</v>
      </c>
    </row>
    <row r="34" spans="1:9" x14ac:dyDescent="0.25">
      <c r="C34" t="s">
        <v>38</v>
      </c>
      <c r="D34" s="18">
        <v>2900</v>
      </c>
      <c r="E34" t="s">
        <v>33</v>
      </c>
      <c r="H34" s="25">
        <v>46053</v>
      </c>
    </row>
    <row r="35" spans="1:9" x14ac:dyDescent="0.25">
      <c r="H35" s="25">
        <v>46053</v>
      </c>
    </row>
    <row r="36" spans="1:9" x14ac:dyDescent="0.25">
      <c r="A36" s="20" t="s">
        <v>41</v>
      </c>
      <c r="B36" t="s">
        <v>134</v>
      </c>
      <c r="C36" t="s">
        <v>5</v>
      </c>
      <c r="D36" s="18">
        <v>40000</v>
      </c>
      <c r="E36" t="s">
        <v>113</v>
      </c>
      <c r="F36">
        <f>D36/1000</f>
        <v>40</v>
      </c>
      <c r="G36" t="s">
        <v>133</v>
      </c>
      <c r="H36" s="25">
        <v>46053</v>
      </c>
    </row>
    <row r="37" spans="1:9" x14ac:dyDescent="0.25">
      <c r="A37" s="27"/>
      <c r="C37" t="s">
        <v>6</v>
      </c>
      <c r="D37" s="18">
        <v>50000</v>
      </c>
      <c r="E37" t="s">
        <v>113</v>
      </c>
      <c r="F37">
        <f>D37/1000</f>
        <v>50</v>
      </c>
      <c r="G37" t="s">
        <v>133</v>
      </c>
      <c r="H37" s="25">
        <v>46053</v>
      </c>
    </row>
    <row r="38" spans="1:9" x14ac:dyDescent="0.25">
      <c r="A38" s="27"/>
      <c r="H38" s="25"/>
    </row>
    <row r="39" spans="1:9" x14ac:dyDescent="0.25">
      <c r="A39" s="27"/>
      <c r="B39" t="s">
        <v>147</v>
      </c>
      <c r="C39" t="s">
        <v>5</v>
      </c>
      <c r="D39" s="18">
        <v>1.5</v>
      </c>
      <c r="H39" s="25"/>
      <c r="I39" t="s">
        <v>148</v>
      </c>
    </row>
    <row r="40" spans="1:9" x14ac:dyDescent="0.25">
      <c r="A40" s="27"/>
      <c r="C40" t="s">
        <v>6</v>
      </c>
      <c r="D40" s="18">
        <v>1.5</v>
      </c>
      <c r="H40" s="25"/>
      <c r="I40" t="s">
        <v>148</v>
      </c>
    </row>
    <row r="41" spans="1:9" x14ac:dyDescent="0.25">
      <c r="H41" s="25">
        <v>46053</v>
      </c>
    </row>
    <row r="42" spans="1:9" x14ac:dyDescent="0.25">
      <c r="B42" t="s">
        <v>54</v>
      </c>
      <c r="C42" t="s">
        <v>55</v>
      </c>
      <c r="D42" s="18">
        <v>7.0000000000000007E-2</v>
      </c>
      <c r="E42" t="s">
        <v>25</v>
      </c>
      <c r="F42">
        <f>D42*1000</f>
        <v>70</v>
      </c>
      <c r="G42" t="s">
        <v>66</v>
      </c>
      <c r="H42" s="25">
        <v>46053</v>
      </c>
    </row>
    <row r="43" spans="1:9" x14ac:dyDescent="0.25">
      <c r="C43" t="s">
        <v>56</v>
      </c>
      <c r="D43" s="18">
        <v>0.06</v>
      </c>
      <c r="E43" t="s">
        <v>25</v>
      </c>
      <c r="F43">
        <f t="shared" ref="F43:F49" si="3">D43*1000</f>
        <v>60</v>
      </c>
      <c r="G43" t="s">
        <v>66</v>
      </c>
      <c r="H43" s="25">
        <v>46053</v>
      </c>
    </row>
    <row r="44" spans="1:9" x14ac:dyDescent="0.25">
      <c r="C44" t="s">
        <v>57</v>
      </c>
      <c r="D44" s="18">
        <v>0.08</v>
      </c>
      <c r="E44" t="s">
        <v>25</v>
      </c>
      <c r="F44">
        <f t="shared" si="3"/>
        <v>80</v>
      </c>
      <c r="G44" t="s">
        <v>66</v>
      </c>
      <c r="H44" s="25">
        <v>46053</v>
      </c>
    </row>
    <row r="45" spans="1:9" x14ac:dyDescent="0.25">
      <c r="C45" t="s">
        <v>58</v>
      </c>
      <c r="D45" s="18">
        <v>7.0000000000000007E-2</v>
      </c>
      <c r="E45" t="s">
        <v>25</v>
      </c>
      <c r="F45">
        <f t="shared" si="3"/>
        <v>70</v>
      </c>
      <c r="G45" t="s">
        <v>66</v>
      </c>
      <c r="H45" s="25">
        <v>46053</v>
      </c>
    </row>
    <row r="46" spans="1:9" x14ac:dyDescent="0.25">
      <c r="C46" t="s">
        <v>59</v>
      </c>
      <c r="D46" s="18">
        <v>5.5E-2</v>
      </c>
      <c r="E46" t="s">
        <v>25</v>
      </c>
      <c r="F46">
        <f t="shared" si="3"/>
        <v>55</v>
      </c>
      <c r="G46" t="s">
        <v>66</v>
      </c>
      <c r="H46" s="25">
        <v>46053</v>
      </c>
    </row>
    <row r="47" spans="1:9" x14ac:dyDescent="0.25">
      <c r="C47" t="s">
        <v>60</v>
      </c>
      <c r="D47" s="18">
        <v>7.4999999999999997E-2</v>
      </c>
      <c r="E47" t="s">
        <v>25</v>
      </c>
      <c r="F47">
        <f t="shared" si="3"/>
        <v>75</v>
      </c>
      <c r="G47" t="s">
        <v>66</v>
      </c>
      <c r="H47" s="25">
        <v>46053</v>
      </c>
    </row>
    <row r="48" spans="1:9" x14ac:dyDescent="0.25">
      <c r="C48" t="s">
        <v>61</v>
      </c>
      <c r="D48" s="18">
        <v>6.5000000000000002E-2</v>
      </c>
      <c r="E48" t="s">
        <v>25</v>
      </c>
      <c r="F48">
        <f t="shared" si="3"/>
        <v>65</v>
      </c>
      <c r="G48" t="s">
        <v>66</v>
      </c>
      <c r="H48" s="25">
        <v>46053</v>
      </c>
    </row>
    <row r="49" spans="1:9" x14ac:dyDescent="0.25">
      <c r="C49" t="s">
        <v>62</v>
      </c>
      <c r="D49" s="18">
        <v>8.5000000000000006E-2</v>
      </c>
      <c r="E49" t="s">
        <v>25</v>
      </c>
      <c r="F49">
        <f t="shared" si="3"/>
        <v>85</v>
      </c>
      <c r="G49" t="s">
        <v>66</v>
      </c>
      <c r="H49" s="25">
        <v>46053</v>
      </c>
    </row>
    <row r="50" spans="1:9" x14ac:dyDescent="0.25">
      <c r="H50" s="25">
        <v>46053</v>
      </c>
    </row>
    <row r="51" spans="1:9" x14ac:dyDescent="0.25">
      <c r="A51" s="20" t="s">
        <v>116</v>
      </c>
      <c r="B51" t="s">
        <v>117</v>
      </c>
      <c r="D51" s="28">
        <v>14</v>
      </c>
      <c r="E51" s="29"/>
      <c r="F51" s="29"/>
      <c r="G51" s="29"/>
      <c r="H51" s="30">
        <v>46053</v>
      </c>
      <c r="I51" s="29" t="s">
        <v>164</v>
      </c>
    </row>
    <row r="52" spans="1:9" x14ac:dyDescent="0.25">
      <c r="B52" t="s">
        <v>123</v>
      </c>
      <c r="D52" s="18">
        <v>40</v>
      </c>
      <c r="E52" t="s">
        <v>22</v>
      </c>
      <c r="H52" s="25">
        <v>46053</v>
      </c>
    </row>
    <row r="53" spans="1:9" x14ac:dyDescent="0.25">
      <c r="H53" s="25">
        <v>46053</v>
      </c>
    </row>
    <row r="54" spans="1:9" x14ac:dyDescent="0.25">
      <c r="H54" s="25">
        <v>46053</v>
      </c>
    </row>
    <row r="55" spans="1:9" x14ac:dyDescent="0.25">
      <c r="A55" s="20" t="s">
        <v>42</v>
      </c>
      <c r="B55" s="17" t="s">
        <v>43</v>
      </c>
      <c r="C55" t="s">
        <v>44</v>
      </c>
      <c r="D55" s="19" t="s">
        <v>46</v>
      </c>
      <c r="H55" s="25">
        <v>46053</v>
      </c>
    </row>
    <row r="56" spans="1:9" x14ac:dyDescent="0.25">
      <c r="B56" s="17" t="s">
        <v>53</v>
      </c>
      <c r="C56" t="s">
        <v>44</v>
      </c>
      <c r="D56" s="19">
        <v>14</v>
      </c>
      <c r="E56" t="s">
        <v>16</v>
      </c>
      <c r="H56" s="25">
        <v>46053</v>
      </c>
    </row>
    <row r="57" spans="1:9" x14ac:dyDescent="0.25">
      <c r="H57" s="25">
        <v>46053</v>
      </c>
    </row>
    <row r="58" spans="1:9" x14ac:dyDescent="0.25">
      <c r="B58" s="17" t="s">
        <v>43</v>
      </c>
      <c r="C58" t="s">
        <v>45</v>
      </c>
      <c r="D58" s="19" t="s">
        <v>47</v>
      </c>
      <c r="H58" s="25">
        <v>46053</v>
      </c>
    </row>
    <row r="59" spans="1:9" x14ac:dyDescent="0.25">
      <c r="B59" s="17" t="s">
        <v>53</v>
      </c>
      <c r="C59" t="s">
        <v>45</v>
      </c>
      <c r="D59" s="19">
        <v>15</v>
      </c>
      <c r="E59" t="s">
        <v>16</v>
      </c>
      <c r="H59" s="25">
        <v>46053</v>
      </c>
    </row>
    <row r="60" spans="1:9" x14ac:dyDescent="0.25">
      <c r="H60" s="25">
        <v>46053</v>
      </c>
    </row>
    <row r="61" spans="1:9" x14ac:dyDescent="0.25">
      <c r="B61" s="17" t="s">
        <v>48</v>
      </c>
      <c r="C61" t="s">
        <v>50</v>
      </c>
      <c r="D61" s="19" t="s">
        <v>51</v>
      </c>
      <c r="H61" s="25">
        <v>46053</v>
      </c>
    </row>
    <row r="62" spans="1:9" x14ac:dyDescent="0.25">
      <c r="B62" s="17" t="s">
        <v>159</v>
      </c>
      <c r="D62" s="18" t="s">
        <v>111</v>
      </c>
      <c r="H62" s="25">
        <v>46053</v>
      </c>
    </row>
    <row r="63" spans="1:9" x14ac:dyDescent="0.25">
      <c r="B63" s="17" t="s">
        <v>118</v>
      </c>
      <c r="D63" s="24">
        <v>0.35</v>
      </c>
      <c r="E63" t="s">
        <v>25</v>
      </c>
      <c r="F63">
        <f>D63*1000</f>
        <v>350</v>
      </c>
      <c r="G63" t="s">
        <v>66</v>
      </c>
      <c r="H63" s="25">
        <v>46053</v>
      </c>
    </row>
    <row r="64" spans="1:9" x14ac:dyDescent="0.25">
      <c r="B64" s="17" t="s">
        <v>49</v>
      </c>
      <c r="D64" s="18">
        <v>280000</v>
      </c>
      <c r="E64" t="s">
        <v>113</v>
      </c>
      <c r="F64">
        <f>D64/1000</f>
        <v>280</v>
      </c>
      <c r="G64" t="s">
        <v>133</v>
      </c>
      <c r="H64" s="25">
        <v>46053</v>
      </c>
    </row>
    <row r="65" spans="1:8" x14ac:dyDescent="0.25">
      <c r="B65" s="17" t="s">
        <v>112</v>
      </c>
      <c r="D65" s="18">
        <v>150000</v>
      </c>
      <c r="E65" t="s">
        <v>114</v>
      </c>
      <c r="F65">
        <f>RADIANS(D65)</f>
        <v>2617.9938779914942</v>
      </c>
      <c r="G65" t="s">
        <v>115</v>
      </c>
      <c r="H65" s="25">
        <v>46053</v>
      </c>
    </row>
    <row r="66" spans="1:8" x14ac:dyDescent="0.25">
      <c r="B66" s="17" t="s">
        <v>162</v>
      </c>
      <c r="D66" s="18">
        <v>6.1100000000000002E-2</v>
      </c>
      <c r="E66" t="s">
        <v>163</v>
      </c>
      <c r="F66">
        <f>DEGREES(D66)</f>
        <v>3.5007721282493298</v>
      </c>
      <c r="G66" t="s">
        <v>160</v>
      </c>
      <c r="H66" s="25">
        <v>46053</v>
      </c>
    </row>
    <row r="67" spans="1:8" x14ac:dyDescent="0.25">
      <c r="B67" s="17" t="s">
        <v>161</v>
      </c>
      <c r="D67" s="18">
        <v>0.1047</v>
      </c>
      <c r="E67" t="s">
        <v>163</v>
      </c>
      <c r="F67">
        <f>DEGREES(D67)</f>
        <v>5.9988681150197189</v>
      </c>
      <c r="G67" t="s">
        <v>160</v>
      </c>
      <c r="H67" s="25">
        <v>46053</v>
      </c>
    </row>
    <row r="68" spans="1:8" x14ac:dyDescent="0.25">
      <c r="H68" s="25">
        <v>46053</v>
      </c>
    </row>
    <row r="69" spans="1:8" x14ac:dyDescent="0.25">
      <c r="B69" s="17" t="s">
        <v>48</v>
      </c>
      <c r="C69" t="s">
        <v>50</v>
      </c>
      <c r="D69" s="19" t="s">
        <v>52</v>
      </c>
      <c r="H69" s="25">
        <v>46053</v>
      </c>
    </row>
    <row r="70" spans="1:8" x14ac:dyDescent="0.25">
      <c r="B70" s="17" t="s">
        <v>159</v>
      </c>
      <c r="D70" s="18" t="s">
        <v>111</v>
      </c>
      <c r="H70" s="25">
        <v>46053</v>
      </c>
    </row>
    <row r="71" spans="1:8" x14ac:dyDescent="0.25">
      <c r="B71" s="17" t="s">
        <v>119</v>
      </c>
      <c r="D71" s="24">
        <v>0.37</v>
      </c>
      <c r="E71" t="s">
        <v>25</v>
      </c>
      <c r="F71">
        <f>D71*1000</f>
        <v>370</v>
      </c>
      <c r="G71" t="s">
        <v>66</v>
      </c>
      <c r="H71" s="25">
        <v>46053</v>
      </c>
    </row>
    <row r="72" spans="1:8" x14ac:dyDescent="0.25">
      <c r="B72" s="17" t="s">
        <v>49</v>
      </c>
      <c r="D72" s="18">
        <v>330000</v>
      </c>
      <c r="E72" t="s">
        <v>113</v>
      </c>
      <c r="F72">
        <f>D72/1000</f>
        <v>330</v>
      </c>
      <c r="G72" t="s">
        <v>133</v>
      </c>
      <c r="H72" s="25">
        <v>46053</v>
      </c>
    </row>
    <row r="73" spans="1:8" x14ac:dyDescent="0.25">
      <c r="B73" s="17" t="s">
        <v>112</v>
      </c>
      <c r="D73" s="18">
        <v>180000</v>
      </c>
      <c r="E73" t="s">
        <v>114</v>
      </c>
      <c r="F73">
        <f>RADIANS(D73)</f>
        <v>3141.5926535897934</v>
      </c>
      <c r="G73" t="s">
        <v>115</v>
      </c>
      <c r="H73" s="25">
        <v>46053</v>
      </c>
    </row>
    <row r="74" spans="1:8" x14ac:dyDescent="0.25">
      <c r="B74" s="17" t="s">
        <v>162</v>
      </c>
      <c r="D74" s="18">
        <v>6.1100000000000002E-2</v>
      </c>
      <c r="E74" t="s">
        <v>163</v>
      </c>
      <c r="F74">
        <f>DEGREES(D74)</f>
        <v>3.5007721282493298</v>
      </c>
      <c r="G74" t="s">
        <v>160</v>
      </c>
      <c r="H74" s="25">
        <v>46053</v>
      </c>
    </row>
    <row r="75" spans="1:8" x14ac:dyDescent="0.25">
      <c r="B75" s="17" t="s">
        <v>161</v>
      </c>
      <c r="D75" s="18">
        <v>0.1047</v>
      </c>
      <c r="E75" t="s">
        <v>163</v>
      </c>
      <c r="F75">
        <f>DEGREES(D75)</f>
        <v>5.9988681150197189</v>
      </c>
      <c r="G75" t="s">
        <v>160</v>
      </c>
      <c r="H75" s="25">
        <v>46053</v>
      </c>
    </row>
    <row r="76" spans="1:8" x14ac:dyDescent="0.25">
      <c r="H76" s="25">
        <v>46053</v>
      </c>
    </row>
    <row r="77" spans="1:8" x14ac:dyDescent="0.25">
      <c r="A77" s="20" t="s">
        <v>67</v>
      </c>
      <c r="B77" s="17" t="s">
        <v>96</v>
      </c>
      <c r="C77" t="s">
        <v>97</v>
      </c>
      <c r="D77" s="18">
        <v>0.41</v>
      </c>
      <c r="E77" t="s">
        <v>25</v>
      </c>
      <c r="F77">
        <f>D77*1000</f>
        <v>410</v>
      </c>
      <c r="G77" t="s">
        <v>66</v>
      </c>
      <c r="H77" s="25">
        <v>46053</v>
      </c>
    </row>
    <row r="78" spans="1:8" x14ac:dyDescent="0.25">
      <c r="C78" t="s">
        <v>98</v>
      </c>
      <c r="D78" s="18">
        <v>0.23</v>
      </c>
      <c r="E78" t="s">
        <v>25</v>
      </c>
      <c r="F78">
        <f t="shared" ref="F78:F80" si="4">D78*1000</f>
        <v>230</v>
      </c>
      <c r="G78" t="s">
        <v>66</v>
      </c>
      <c r="H78" s="25">
        <v>46053</v>
      </c>
    </row>
    <row r="79" spans="1:8" x14ac:dyDescent="0.25">
      <c r="C79" t="s">
        <v>99</v>
      </c>
      <c r="D79" s="18">
        <v>0.4</v>
      </c>
      <c r="E79" t="s">
        <v>25</v>
      </c>
      <c r="F79">
        <f t="shared" si="4"/>
        <v>400</v>
      </c>
      <c r="G79" t="s">
        <v>66</v>
      </c>
      <c r="H79" s="25">
        <v>46053</v>
      </c>
    </row>
    <row r="80" spans="1:8" x14ac:dyDescent="0.25">
      <c r="C80" t="s">
        <v>100</v>
      </c>
      <c r="D80" s="18">
        <v>0.27</v>
      </c>
      <c r="E80" t="s">
        <v>25</v>
      </c>
      <c r="F80">
        <f t="shared" si="4"/>
        <v>270</v>
      </c>
      <c r="G80" t="s">
        <v>66</v>
      </c>
      <c r="H80" s="25">
        <v>46053</v>
      </c>
    </row>
    <row r="81" spans="2:9" x14ac:dyDescent="0.25">
      <c r="H81" s="25">
        <v>46053</v>
      </c>
    </row>
    <row r="82" spans="2:9" x14ac:dyDescent="0.25">
      <c r="B82" t="s">
        <v>101</v>
      </c>
      <c r="C82" t="s">
        <v>5</v>
      </c>
      <c r="D82" s="18">
        <v>6</v>
      </c>
      <c r="H82" s="25">
        <v>46053</v>
      </c>
    </row>
    <row r="83" spans="2:9" x14ac:dyDescent="0.25">
      <c r="C83" t="s">
        <v>6</v>
      </c>
      <c r="D83" s="18">
        <v>6</v>
      </c>
      <c r="H83" s="25">
        <v>46053</v>
      </c>
    </row>
    <row r="84" spans="2:9" x14ac:dyDescent="0.25">
      <c r="H84" s="25">
        <v>46053</v>
      </c>
    </row>
    <row r="85" spans="2:9" x14ac:dyDescent="0.25">
      <c r="B85" t="s">
        <v>104</v>
      </c>
      <c r="C85" t="s">
        <v>102</v>
      </c>
      <c r="D85" s="18">
        <v>3.5999999999999997E-2</v>
      </c>
      <c r="E85" t="s">
        <v>25</v>
      </c>
      <c r="F85">
        <f t="shared" ref="F85:F86" si="5">D85*1000</f>
        <v>36</v>
      </c>
      <c r="G85" t="s">
        <v>66</v>
      </c>
      <c r="H85" s="25">
        <v>46053</v>
      </c>
    </row>
    <row r="86" spans="2:9" x14ac:dyDescent="0.25">
      <c r="C86" t="s">
        <v>103</v>
      </c>
      <c r="D86" s="18">
        <v>0.04</v>
      </c>
      <c r="E86" t="s">
        <v>25</v>
      </c>
      <c r="F86">
        <f t="shared" si="5"/>
        <v>40</v>
      </c>
      <c r="G86" t="s">
        <v>66</v>
      </c>
      <c r="H86" s="25">
        <v>46053</v>
      </c>
    </row>
    <row r="87" spans="2:9" x14ac:dyDescent="0.25">
      <c r="C87" t="s">
        <v>144</v>
      </c>
      <c r="D87" s="18">
        <v>2.8000000000000001E-2</v>
      </c>
      <c r="E87" t="s">
        <v>25</v>
      </c>
      <c r="F87">
        <f t="shared" ref="F87:F88" si="6">D87*1000</f>
        <v>28</v>
      </c>
      <c r="G87" t="s">
        <v>66</v>
      </c>
      <c r="H87" s="25">
        <v>46053</v>
      </c>
    </row>
    <row r="88" spans="2:9" x14ac:dyDescent="0.25">
      <c r="C88" t="s">
        <v>105</v>
      </c>
      <c r="D88" s="18">
        <v>3.5000000000000003E-2</v>
      </c>
      <c r="E88" t="s">
        <v>25</v>
      </c>
      <c r="F88">
        <f t="shared" si="6"/>
        <v>35</v>
      </c>
      <c r="G88" t="s">
        <v>66</v>
      </c>
      <c r="H88" s="25">
        <v>46053</v>
      </c>
    </row>
    <row r="89" spans="2:9" x14ac:dyDescent="0.25">
      <c r="H89" s="25">
        <v>46053</v>
      </c>
    </row>
    <row r="90" spans="2:9" x14ac:dyDescent="0.25">
      <c r="B90" t="s">
        <v>106</v>
      </c>
      <c r="C90" t="s">
        <v>5</v>
      </c>
      <c r="D90" s="18">
        <v>0.3</v>
      </c>
      <c r="H90" s="25">
        <v>46053</v>
      </c>
    </row>
    <row r="91" spans="2:9" x14ac:dyDescent="0.25">
      <c r="C91" t="s">
        <v>6</v>
      </c>
      <c r="D91" s="18">
        <v>0.3</v>
      </c>
      <c r="H91" s="25">
        <v>46053</v>
      </c>
    </row>
    <row r="92" spans="2:9" x14ac:dyDescent="0.25">
      <c r="H92" s="25">
        <v>46053</v>
      </c>
    </row>
    <row r="93" spans="2:9" x14ac:dyDescent="0.25">
      <c r="B93" t="s">
        <v>107</v>
      </c>
      <c r="D93" s="18">
        <v>2.5000000000000001E-2</v>
      </c>
      <c r="E93" t="s">
        <v>25</v>
      </c>
      <c r="F93">
        <f t="shared" ref="F93" si="7">D93*1000</f>
        <v>25</v>
      </c>
      <c r="G93" t="s">
        <v>66</v>
      </c>
      <c r="H93" s="25">
        <v>46053</v>
      </c>
    </row>
    <row r="94" spans="2:9" x14ac:dyDescent="0.25">
      <c r="B94" t="s">
        <v>108</v>
      </c>
      <c r="C94" t="s">
        <v>5</v>
      </c>
      <c r="D94" s="18">
        <v>0.65</v>
      </c>
      <c r="E94" t="s">
        <v>21</v>
      </c>
      <c r="F94">
        <f>D94*100</f>
        <v>65</v>
      </c>
      <c r="G94" t="s">
        <v>22</v>
      </c>
      <c r="H94" s="25">
        <v>46053</v>
      </c>
      <c r="I94" t="s">
        <v>152</v>
      </c>
    </row>
    <row r="95" spans="2:9" x14ac:dyDescent="0.25">
      <c r="B95" t="s">
        <v>109</v>
      </c>
      <c r="D95" s="18" t="s">
        <v>153</v>
      </c>
      <c r="H95" s="25">
        <v>46053</v>
      </c>
    </row>
    <row r="96" spans="2:9" x14ac:dyDescent="0.25">
      <c r="B96" t="s">
        <v>110</v>
      </c>
      <c r="D96" s="18">
        <v>5.0999999999999996</v>
      </c>
      <c r="E96" t="s">
        <v>21</v>
      </c>
      <c r="H96" s="25">
        <v>46053</v>
      </c>
    </row>
    <row r="97" spans="1:9" x14ac:dyDescent="0.25">
      <c r="B97" t="s">
        <v>130</v>
      </c>
      <c r="D97" s="18">
        <v>450</v>
      </c>
      <c r="G97" t="s">
        <v>131</v>
      </c>
      <c r="H97" s="25">
        <v>46053</v>
      </c>
    </row>
    <row r="98" spans="1:9" x14ac:dyDescent="0.25">
      <c r="H98" s="25">
        <v>46053</v>
      </c>
    </row>
    <row r="99" spans="1:9" x14ac:dyDescent="0.25">
      <c r="H99" s="25">
        <v>46053</v>
      </c>
    </row>
    <row r="100" spans="1:9" x14ac:dyDescent="0.25">
      <c r="A100" s="20" t="s">
        <v>68</v>
      </c>
      <c r="B100" t="s">
        <v>70</v>
      </c>
      <c r="D100" s="18" t="s">
        <v>158</v>
      </c>
      <c r="H100" s="25">
        <v>46053</v>
      </c>
    </row>
    <row r="101" spans="1:9" x14ac:dyDescent="0.25">
      <c r="B101" t="s">
        <v>151</v>
      </c>
      <c r="D101" s="18">
        <v>0.16</v>
      </c>
      <c r="E101" t="s">
        <v>33</v>
      </c>
      <c r="H101" s="25">
        <v>46053</v>
      </c>
    </row>
    <row r="102" spans="1:9" x14ac:dyDescent="0.25">
      <c r="H102" s="25">
        <v>46053</v>
      </c>
    </row>
    <row r="103" spans="1:9" ht="30" x14ac:dyDescent="0.25">
      <c r="B103" t="s">
        <v>154</v>
      </c>
      <c r="C103" t="s">
        <v>71</v>
      </c>
      <c r="D103" s="31" t="s">
        <v>156</v>
      </c>
      <c r="H103" s="25">
        <v>46053</v>
      </c>
    </row>
    <row r="104" spans="1:9" x14ac:dyDescent="0.25">
      <c r="C104" t="s">
        <v>72</v>
      </c>
      <c r="D104" s="18" t="s">
        <v>155</v>
      </c>
      <c r="H104" s="25">
        <v>46053</v>
      </c>
    </row>
    <row r="105" spans="1:9" x14ac:dyDescent="0.25">
      <c r="C105" t="s">
        <v>6</v>
      </c>
      <c r="D105" s="18" t="s">
        <v>155</v>
      </c>
      <c r="H105" s="25">
        <v>46053</v>
      </c>
    </row>
    <row r="106" spans="1:9" x14ac:dyDescent="0.25">
      <c r="H106" s="25">
        <v>46053</v>
      </c>
    </row>
    <row r="107" spans="1:9" x14ac:dyDescent="0.25">
      <c r="B107" t="s">
        <v>73</v>
      </c>
      <c r="C107" t="s">
        <v>71</v>
      </c>
      <c r="D107" s="18">
        <v>1.2E-2</v>
      </c>
      <c r="E107" t="s">
        <v>33</v>
      </c>
      <c r="H107" s="25">
        <v>46053</v>
      </c>
      <c r="I107" t="s">
        <v>74</v>
      </c>
    </row>
    <row r="108" spans="1:9" x14ac:dyDescent="0.25">
      <c r="C108" t="s">
        <v>72</v>
      </c>
      <c r="D108" s="18">
        <v>1.2E-2</v>
      </c>
      <c r="E108" t="s">
        <v>33</v>
      </c>
      <c r="H108" s="25">
        <v>46053</v>
      </c>
      <c r="I108" t="s">
        <v>74</v>
      </c>
    </row>
    <row r="109" spans="1:9" x14ac:dyDescent="0.25">
      <c r="C109" t="s">
        <v>6</v>
      </c>
      <c r="D109" s="18">
        <v>1.2E-2</v>
      </c>
      <c r="E109" t="s">
        <v>33</v>
      </c>
      <c r="H109" s="25">
        <v>46053</v>
      </c>
      <c r="I109" t="s">
        <v>74</v>
      </c>
    </row>
    <row r="110" spans="1:9" x14ac:dyDescent="0.25">
      <c r="H110" s="25">
        <v>46053</v>
      </c>
    </row>
    <row r="111" spans="1:9" x14ac:dyDescent="0.25">
      <c r="B111" t="s">
        <v>75</v>
      </c>
      <c r="C111" t="s">
        <v>71</v>
      </c>
      <c r="D111" s="18" t="s">
        <v>157</v>
      </c>
      <c r="H111" s="25">
        <v>46053</v>
      </c>
    </row>
    <row r="112" spans="1:9" x14ac:dyDescent="0.25">
      <c r="C112" t="s">
        <v>72</v>
      </c>
      <c r="D112" s="18" t="s">
        <v>157</v>
      </c>
      <c r="H112" s="25">
        <v>46053</v>
      </c>
    </row>
    <row r="113" spans="1:9" x14ac:dyDescent="0.25">
      <c r="C113" t="s">
        <v>6</v>
      </c>
      <c r="D113" s="18" t="s">
        <v>157</v>
      </c>
      <c r="H113" s="25">
        <v>46053</v>
      </c>
    </row>
    <row r="114" spans="1:9" x14ac:dyDescent="0.25">
      <c r="H114" s="25">
        <v>46053</v>
      </c>
    </row>
    <row r="115" spans="1:9" x14ac:dyDescent="0.25">
      <c r="A115" s="20" t="s">
        <v>69</v>
      </c>
      <c r="B115" t="s">
        <v>76</v>
      </c>
      <c r="C115" t="s">
        <v>77</v>
      </c>
      <c r="D115" s="21">
        <v>3.4</v>
      </c>
      <c r="H115" s="25">
        <v>46053</v>
      </c>
    </row>
    <row r="116" spans="1:9" x14ac:dyDescent="0.25">
      <c r="C116" t="s">
        <v>78</v>
      </c>
      <c r="D116" s="21">
        <v>2.35</v>
      </c>
      <c r="H116" s="25">
        <v>46053</v>
      </c>
    </row>
    <row r="117" spans="1:9" x14ac:dyDescent="0.25">
      <c r="C117" t="s">
        <v>79</v>
      </c>
      <c r="D117" s="21">
        <v>1.75</v>
      </c>
      <c r="H117" s="25">
        <v>46053</v>
      </c>
    </row>
    <row r="118" spans="1:9" x14ac:dyDescent="0.25">
      <c r="C118" t="s">
        <v>80</v>
      </c>
      <c r="D118" s="21">
        <v>1.4</v>
      </c>
      <c r="H118" s="25">
        <v>46053</v>
      </c>
    </row>
    <row r="119" spans="1:9" x14ac:dyDescent="0.25">
      <c r="C119" t="s">
        <v>81</v>
      </c>
      <c r="D119" s="21">
        <v>1.2</v>
      </c>
      <c r="H119" s="25">
        <v>46053</v>
      </c>
    </row>
    <row r="120" spans="1:9" x14ac:dyDescent="0.25">
      <c r="C120" t="s">
        <v>82</v>
      </c>
      <c r="D120" s="21">
        <v>1</v>
      </c>
      <c r="H120" s="25">
        <v>46053</v>
      </c>
    </row>
    <row r="121" spans="1:9" x14ac:dyDescent="0.25">
      <c r="C121" t="s">
        <v>83</v>
      </c>
      <c r="D121" s="21">
        <v>0.9</v>
      </c>
      <c r="H121" s="25">
        <v>46053</v>
      </c>
    </row>
    <row r="122" spans="1:9" x14ac:dyDescent="0.25">
      <c r="C122" t="s">
        <v>84</v>
      </c>
      <c r="D122" s="21">
        <v>0.8</v>
      </c>
      <c r="H122" s="25">
        <v>46053</v>
      </c>
    </row>
    <row r="123" spans="1:9" x14ac:dyDescent="0.25">
      <c r="H123" s="25">
        <v>46053</v>
      </c>
    </row>
    <row r="124" spans="1:9" x14ac:dyDescent="0.25">
      <c r="B124" t="s">
        <v>85</v>
      </c>
      <c r="C124" t="s">
        <v>86</v>
      </c>
      <c r="D124" s="18">
        <v>3.5</v>
      </c>
      <c r="H124" s="25">
        <v>46053</v>
      </c>
    </row>
    <row r="125" spans="1:9" x14ac:dyDescent="0.25">
      <c r="H125" s="25">
        <v>46053</v>
      </c>
    </row>
    <row r="126" spans="1:9" x14ac:dyDescent="0.25">
      <c r="B126" t="s">
        <v>149</v>
      </c>
      <c r="C126" t="s">
        <v>71</v>
      </c>
      <c r="D126" s="18">
        <v>6</v>
      </c>
      <c r="H126" s="25">
        <v>46053</v>
      </c>
    </row>
    <row r="127" spans="1:9" x14ac:dyDescent="0.25">
      <c r="C127" t="s">
        <v>72</v>
      </c>
      <c r="D127" s="18">
        <v>6</v>
      </c>
      <c r="H127" s="25">
        <v>46053</v>
      </c>
    </row>
    <row r="128" spans="1:9" x14ac:dyDescent="0.25">
      <c r="C128" t="s">
        <v>6</v>
      </c>
      <c r="D128" s="18" t="s">
        <v>150</v>
      </c>
      <c r="H128" s="25">
        <v>46053</v>
      </c>
      <c r="I128" s="16"/>
    </row>
    <row r="129" spans="1:9" x14ac:dyDescent="0.25">
      <c r="H129" s="25">
        <v>46053</v>
      </c>
    </row>
    <row r="130" spans="1:9" x14ac:dyDescent="0.25">
      <c r="A130" s="20" t="s">
        <v>88</v>
      </c>
      <c r="B130" t="s">
        <v>89</v>
      </c>
      <c r="D130" s="18" t="s">
        <v>132</v>
      </c>
      <c r="H130" s="25">
        <v>46053</v>
      </c>
    </row>
    <row r="131" spans="1:9" x14ac:dyDescent="0.25">
      <c r="B131" t="s">
        <v>90</v>
      </c>
      <c r="C131" t="s">
        <v>91</v>
      </c>
      <c r="D131" s="18">
        <v>2</v>
      </c>
      <c r="E131" t="s">
        <v>93</v>
      </c>
      <c r="H131" s="25">
        <v>46053</v>
      </c>
    </row>
    <row r="132" spans="1:9" x14ac:dyDescent="0.25">
      <c r="C132" t="s">
        <v>92</v>
      </c>
      <c r="D132" s="18">
        <v>9</v>
      </c>
      <c r="E132" t="s">
        <v>93</v>
      </c>
      <c r="H132" s="25">
        <v>46053</v>
      </c>
    </row>
    <row r="133" spans="1:9" x14ac:dyDescent="0.25">
      <c r="B133" t="s">
        <v>94</v>
      </c>
      <c r="C133" t="s">
        <v>145</v>
      </c>
      <c r="D133" s="18">
        <v>0.32</v>
      </c>
      <c r="H133" s="25">
        <v>46053</v>
      </c>
    </row>
    <row r="134" spans="1:9" x14ac:dyDescent="0.25">
      <c r="C134" t="s">
        <v>146</v>
      </c>
      <c r="D134" s="18">
        <v>-0.15</v>
      </c>
      <c r="H134" s="25">
        <v>46053</v>
      </c>
      <c r="I134" s="22" t="s">
        <v>95</v>
      </c>
    </row>
    <row r="135" spans="1:9" x14ac:dyDescent="0.25">
      <c r="A135" s="26" t="s">
        <v>136</v>
      </c>
      <c r="B135" s="26" t="s">
        <v>136</v>
      </c>
      <c r="C135" s="26" t="s">
        <v>136</v>
      </c>
      <c r="D135" s="26" t="s">
        <v>136</v>
      </c>
      <c r="E135" s="26" t="s">
        <v>136</v>
      </c>
      <c r="F135" s="26" t="s">
        <v>136</v>
      </c>
      <c r="G135" s="26" t="s">
        <v>136</v>
      </c>
      <c r="H135" s="26" t="s">
        <v>136</v>
      </c>
      <c r="I135" s="26" t="s">
        <v>136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</vt:lpstr>
      <vt:lpstr>CoordSys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Catto</dc:creator>
  <cp:lastModifiedBy>Christopher Catto</cp:lastModifiedBy>
  <dcterms:created xsi:type="dcterms:W3CDTF">2015-06-05T18:17:20Z</dcterms:created>
  <dcterms:modified xsi:type="dcterms:W3CDTF">2026-01-31T08:48:22Z</dcterms:modified>
</cp:coreProperties>
</file>